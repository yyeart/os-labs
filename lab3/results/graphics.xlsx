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yeart/Documents/OS/lab3/results/"/>
    </mc:Choice>
  </mc:AlternateContent>
  <xr:revisionPtr revIDLastSave="0" documentId="8_{5EF99D93-B90D-6446-BB31-3DB3FCC59650}" xr6:coauthVersionLast="47" xr6:coauthVersionMax="47" xr10:uidLastSave="{00000000-0000-0000-0000-000000000000}"/>
  <bookViews>
    <workbookView xWindow="1660" yWindow="1280" windowWidth="27640" windowHeight="16940" xr2:uid="{5E552878-1245-7B4C-B199-88273E8FE1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/>
  <c r="K3" i="1"/>
  <c r="I4" i="1"/>
  <c r="J4" i="1"/>
  <c r="K4" i="1"/>
  <c r="K2" i="1"/>
  <c r="J2" i="1"/>
  <c r="I2" i="1"/>
  <c r="E4" i="1"/>
  <c r="F4" i="1"/>
  <c r="G4" i="1"/>
  <c r="E3" i="1"/>
  <c r="F3" i="1"/>
  <c r="G3" i="1"/>
  <c r="G2" i="1"/>
  <c r="F2" i="1"/>
  <c r="E2" i="1"/>
</calcChain>
</file>

<file path=xl/sharedStrings.xml><?xml version="1.0" encoding="utf-8"?>
<sst xmlns="http://schemas.openxmlformats.org/spreadsheetml/2006/main" count="9" uniqueCount="3">
  <si>
    <t>Потоки</t>
  </si>
  <si>
    <t>512×512</t>
  </si>
  <si>
    <t>1024×1024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</si>
</sst>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%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Зависимость времени выполнения от числа потоков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512×512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xVal>
          <c:yVal>
            <c:numRef>
              <c:f>Sheet1!$B$2:$B$4</c:f>
              <c:numCache>
                <c:formatCode>General</c:formatCode>
                <c:ptCount val="3"/>
                <c:pt idx="0">
                  <c:v>7.5083167000000006E-2</c:v>
                </c:pt>
                <c:pt idx="1">
                  <c:v>4.6907667E-2</c:v>
                </c:pt>
                <c:pt idx="2">
                  <c:v>3.0883708999999999E-2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5F-D542-9E6E-ADEA7CC98CE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1024×1024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xVal>
          <c:yVal>
            <c:numRef>
              <c:f>Sheet1!$C$2:$C$4</c:f>
              <c:numCache>
                <c:formatCode>General</c:formatCode>
                <c:ptCount val="3"/>
                <c:pt idx="0">
                  <c:v>0.29771970800000003</c:v>
                </c:pt>
                <c:pt idx="1">
                  <c:v>0.182797875</c:v>
                </c:pt>
                <c:pt idx="2">
                  <c:v>0.118525084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55F-D542-9E6E-ADEA7CC98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098367"/>
        <c:axId val="1011100159"/>
      </c:scatterChart>
      <c:valAx>
        <c:axId val="101109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/>
                  <a:t>Количество потоков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100159"/>
        <c:crosses val="autoZero"/>
        <c:crossBetween val="midCat"/>
      </c:valAx>
      <c:valAx>
        <c:axId val="101110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/>
                  <a:t>Время, с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98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Зависимость ускорения от числа потоков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512×512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xVal>
          <c:yVal>
            <c:numRef>
              <c:f>Sheet1!$F$2:$F$4</c:f>
              <c:numCache>
                <c:formatCode>General</c:formatCode>
                <c:ptCount val="3"/>
                <c:pt idx="0">
                  <c:v>1</c:v>
                </c:pt>
                <c:pt idx="1">
                  <c:v>1.6006587366623883</c:v>
                </c:pt>
                <c:pt idx="2">
                  <c:v>2.4311577019457089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10-D44F-88E2-064DBE5461DA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1024×1024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Sheet1!$E$2:$E$4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xVal>
          <c:yVal>
            <c:numRef>
              <c:f>Sheet1!$G$2:$G$4</c:f>
              <c:numCache>
                <c:formatCode>General</c:formatCode>
                <c:ptCount val="3"/>
                <c:pt idx="0">
                  <c:v>1</c:v>
                </c:pt>
                <c:pt idx="1">
                  <c:v>1.6286825434923684</c:v>
                </c:pt>
                <c:pt idx="2">
                  <c:v>2.5118708880223197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10-D44F-88E2-064DBE546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529599"/>
        <c:axId val="1065531391"/>
      </c:scatterChart>
      <c:valAx>
        <c:axId val="106552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потоков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531391"/>
        <c:crosses val="autoZero"/>
        <c:crossBetween val="midCat"/>
      </c:valAx>
      <c:valAx>
        <c:axId val="106553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Ускорение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529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Зависимость эффективности от числа потоков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512×512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Sheet1!$I$2:$I$4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xVal>
          <c:yVal>
            <c:numRef>
              <c:f>Sheet1!$J$2:$J$4</c:f>
              <c:numCache>
                <c:formatCode>0.0%</c:formatCode>
                <c:ptCount val="3"/>
                <c:pt idx="0">
                  <c:v>1</c:v>
                </c:pt>
                <c:pt idx="1">
                  <c:v>0.80032936833119417</c:v>
                </c:pt>
                <c:pt idx="2">
                  <c:v>0.60778942548642723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7F-B545-878F-42D40912A7DD}"/>
            </c:ext>
          </c:extLst>
        </c:ser>
        <c:ser>
          <c:idx val="1"/>
          <c:order val="1"/>
          <c:tx>
            <c:strRef>
              <c:f>Sheet1!$K$1</c:f>
              <c:strCache>
                <c:ptCount val="1"/>
                <c:pt idx="0">
                  <c:v>1024×1024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Sheet1!$I$2:$I$4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xVal>
          <c:yVal>
            <c:numRef>
              <c:f>Sheet1!$K$2:$K$4</c:f>
              <c:numCache>
                <c:formatCode>0.0%</c:formatCode>
                <c:ptCount val="3"/>
                <c:pt idx="0">
                  <c:v>1</c:v>
                </c:pt>
                <c:pt idx="1">
                  <c:v>0.8143412717461842</c:v>
                </c:pt>
                <c:pt idx="2">
                  <c:v>0.62796772200557993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7F-B545-878F-42D40912A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917439"/>
        <c:axId val="1065523775"/>
      </c:scatterChart>
      <c:valAx>
        <c:axId val="106591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потоков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523775"/>
        <c:crosses val="autoZero"/>
        <c:crossBetween val="midCat"/>
      </c:valAx>
      <c:valAx>
        <c:axId val="106552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/>
                  <a:t>Эффективность,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917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139701</xdr:colOff>
      <xdr:row>5</xdr:row>
      <xdr:rowOff>128925</xdr:rowOff>
    </xdr:from>
    <xdr:to>
      <xdr:col>10</xdr:col>
      <xdr:colOff>38100</xdr:colOff>
      <xdr:row>25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B69FDB-3174-0E6A-8A6C-F784D5039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743828</xdr:colOff>
      <xdr:row>27</xdr:row>
      <xdr:rowOff>127516</xdr:rowOff>
    </xdr:from>
    <xdr:to>
      <xdr:col>12</xdr:col>
      <xdr:colOff>636033</xdr:colOff>
      <xdr:row>42</xdr:row>
      <xdr:rowOff>164067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959427-F338-8C72-0744-E076F4A2F1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632262</xdr:colOff>
      <xdr:row>8</xdr:row>
      <xdr:rowOff>169178</xdr:rowOff>
    </xdr:from>
    <xdr:to>
      <xdr:col>16</xdr:col>
      <xdr:colOff>232676</xdr:colOff>
      <xdr:row>22</xdr:row>
      <xdr:rowOff>93598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77A6A7-405F-9194-5114-BACE42C52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A61AC-58CF-F64B-96A6-D4143B61554F}">
  <dimension ref="A1:K4"/>
  <sheetViews>
    <sheetView tabSelected="1" zoomScale="116" workbookViewId="0">
      <selection activeCell="C5" sqref="C5"/>
    </sheetView>
  </sheetViews>
  <sheetFormatPr baseColWidth="10" defaultRowHeight="16" x14ac:dyDescent="0.2"/>
  <cols>
    <col min="7" max="7" width="14.5" customWidth="1"/>
  </cols>
  <sheetData>
    <row r="1" spans="1:11" x14ac:dyDescent="0.2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  <c r="I1" t="s">
        <v>0</v>
      </c>
      <c r="J1" t="s">
        <v>1</v>
      </c>
      <c r="K1" t="s">
        <v>2</v>
      </c>
    </row>
    <row r="2" spans="1:11" x14ac:dyDescent="0.2">
      <c r="A2">
        <v>1</v>
      </c>
      <c r="B2">
        <v>7.5083167000000006E-2</v>
      </c>
      <c r="C2">
        <v>0.29771970800000003</v>
      </c>
      <c r="E2">
        <f>A2</f>
        <v>1</v>
      </c>
      <c r="F2">
        <f>$B$2/B2</f>
        <v>1</v>
      </c>
      <c r="G2">
        <f>$C$2/C2</f>
        <v>1</v>
      </c>
      <c r="I2">
        <f>A2</f>
        <v>1</v>
      </c>
      <c r="J2" s="1">
        <f>F2/E2</f>
        <v>1</v>
      </c>
      <c r="K2" s="1">
        <f>G2/E2</f>
        <v>1</v>
      </c>
    </row>
    <row r="3" spans="1:11" x14ac:dyDescent="0.2">
      <c r="A3">
        <v>2</v>
      </c>
      <c r="B3">
        <v>4.6907667E-2</v>
      </c>
      <c r="C3">
        <v>0.182797875</v>
      </c>
      <c r="E3">
        <f>A3</f>
        <v>2</v>
      </c>
      <c r="F3">
        <f>$B$2/B3</f>
        <v>1.6006587366623883</v>
      </c>
      <c r="G3">
        <f>$C$2/C3</f>
        <v>1.6286825434923684</v>
      </c>
      <c r="I3">
        <f t="shared" ref="I3:I4" si="0">A3</f>
        <v>2</v>
      </c>
      <c r="J3" s="1">
        <f t="shared" ref="J3:J4" si="1">F3/E3</f>
        <v>0.80032936833119417</v>
      </c>
      <c r="K3" s="1">
        <f t="shared" ref="K3:K4" si="2">G3/E3</f>
        <v>0.8143412717461842</v>
      </c>
    </row>
    <row r="4" spans="1:11" x14ac:dyDescent="0.2">
      <c r="A4">
        <v>4</v>
      </c>
      <c r="B4">
        <v>3.0883708999999999E-2</v>
      </c>
      <c r="C4">
        <v>0.118525084</v>
      </c>
      <c r="E4">
        <f>A4</f>
        <v>4</v>
      </c>
      <c r="F4">
        <f>$B$2/B4</f>
        <v>2.4311577019457089</v>
      </c>
      <c r="G4">
        <f>$C$2/C4</f>
        <v>2.5118708880223197</v>
      </c>
      <c r="I4">
        <f t="shared" si="0"/>
        <v>4</v>
      </c>
      <c r="J4" s="1">
        <f t="shared" si="1"/>
        <v>0.60778942548642723</v>
      </c>
      <c r="K4" s="1">
        <f t="shared" si="2"/>
        <v>0.62796772200557993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 Смирнов</dc:creator>
  <cp:lastModifiedBy>Слава Смирнов</cp:lastModifiedBy>
  <dcterms:created xsi:type="dcterms:W3CDTF">2026-10-22T20:28:36Z</dcterms:created>
  <dcterms:modified xsi:type="dcterms:W3CDTF">2026-10-23T06:18:26Z</dcterms:modified>
</cp:coreProperties>
</file>